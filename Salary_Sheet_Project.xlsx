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defaultThemeVersion="166925"/>
  <xr:revisionPtr revIDLastSave="373" documentId="11_E60897F41BE170836B02CE998F75CCDC64E183C8" xr6:coauthVersionLast="47" xr6:coauthVersionMax="47" xr10:uidLastSave="{C7B206DB-F266-4103-BEAA-2BD3B6EBF4F0}"/>
  <bookViews>
    <workbookView xWindow="240" yWindow="105" windowWidth="14805" windowHeight="8010" xr2:uid="{00000000-000D-0000-FFFF-FFFF00000000}"/>
  </bookViews>
  <sheets>
    <sheet name="Employee_Info" sheetId="1" r:id="rId1"/>
    <sheet name="Department_info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1" l="1"/>
  <c r="H12" i="1"/>
  <c r="I12" i="1"/>
  <c r="J12" i="1"/>
  <c r="K12" i="1"/>
  <c r="L12" i="1"/>
  <c r="M12" i="1"/>
  <c r="D12" i="1"/>
  <c r="F12" i="1" s="1"/>
  <c r="G11" i="1"/>
  <c r="H11" i="1"/>
  <c r="I11" i="1"/>
  <c r="D11" i="1"/>
  <c r="F11" i="1" s="1"/>
  <c r="G8" i="1"/>
  <c r="H8" i="1"/>
  <c r="I8" i="1"/>
  <c r="G9" i="1"/>
  <c r="H9" i="1"/>
  <c r="I9" i="1"/>
  <c r="G10" i="1"/>
  <c r="H10" i="1"/>
  <c r="I10" i="1"/>
  <c r="D9" i="1"/>
  <c r="F9" i="1" s="1"/>
  <c r="D10" i="1"/>
  <c r="F10" i="1" s="1"/>
  <c r="D8" i="1"/>
  <c r="F8" i="1" s="1"/>
  <c r="D7" i="1"/>
  <c r="F7" i="1" s="1"/>
  <c r="G7" i="1"/>
  <c r="H7" i="1"/>
  <c r="I7" i="1"/>
  <c r="J7" i="1"/>
  <c r="K7" i="1"/>
  <c r="L7" i="1"/>
  <c r="M7" i="1"/>
  <c r="I5" i="1"/>
  <c r="I6" i="1"/>
  <c r="I4" i="1"/>
  <c r="G4" i="1"/>
  <c r="H5" i="1"/>
  <c r="H6" i="1"/>
  <c r="H4" i="1"/>
  <c r="G5" i="1"/>
  <c r="G6" i="1"/>
  <c r="D4" i="1"/>
  <c r="D5" i="1"/>
  <c r="F5" i="1" s="1"/>
  <c r="D6" i="1"/>
  <c r="F6" i="1" s="1"/>
  <c r="K6" i="1" l="1"/>
  <c r="J6" i="1"/>
  <c r="K5" i="1"/>
  <c r="J5" i="1"/>
  <c r="K4" i="1"/>
  <c r="F4" i="1"/>
  <c r="J4" i="1" s="1"/>
  <c r="J8" i="1"/>
  <c r="K8" i="1"/>
  <c r="J10" i="1"/>
  <c r="K10" i="1"/>
  <c r="J9" i="1"/>
  <c r="K9" i="1"/>
  <c r="J11" i="1"/>
  <c r="K11" i="1"/>
  <c r="L6" i="1"/>
  <c r="M6" i="1" s="1"/>
  <c r="L5" i="1"/>
  <c r="M5" i="1" s="1"/>
  <c r="L4" i="1"/>
  <c r="M4" i="1" s="1"/>
  <c r="L11" i="1" l="1"/>
  <c r="M11" i="1"/>
  <c r="L9" i="1"/>
  <c r="M9" i="1"/>
  <c r="L10" i="1"/>
  <c r="M10" i="1"/>
  <c r="L8" i="1"/>
  <c r="M8" i="1"/>
</calcChain>
</file>

<file path=xl/sharedStrings.xml><?xml version="1.0" encoding="utf-8"?>
<sst xmlns="http://schemas.openxmlformats.org/spreadsheetml/2006/main" count="31" uniqueCount="31">
  <si>
    <t>Employee Salary Sheet Of January</t>
  </si>
  <si>
    <t>Emp_id</t>
  </si>
  <si>
    <t>Name</t>
  </si>
  <si>
    <t>Department</t>
  </si>
  <si>
    <t>Basic Salary</t>
  </si>
  <si>
    <t>Attandnance</t>
  </si>
  <si>
    <t>Salary</t>
  </si>
  <si>
    <t>HRA</t>
  </si>
  <si>
    <t>TA</t>
  </si>
  <si>
    <t>Medical</t>
  </si>
  <si>
    <t>Gross Salary</t>
  </si>
  <si>
    <t>PF</t>
  </si>
  <si>
    <t>ESI</t>
  </si>
  <si>
    <t>Net Salary</t>
  </si>
  <si>
    <t>Kamlesh Kumar Bharadwaj</t>
  </si>
  <si>
    <t>Sushma Singh</t>
  </si>
  <si>
    <t>Jayesh Shrivastava</t>
  </si>
  <si>
    <t>Himanshu</t>
  </si>
  <si>
    <t>Naman</t>
  </si>
  <si>
    <t>Nilesh</t>
  </si>
  <si>
    <t>Kailash</t>
  </si>
  <si>
    <t>Bharti</t>
  </si>
  <si>
    <t>Kishore</t>
  </si>
  <si>
    <t>Department Information</t>
  </si>
  <si>
    <t>Department_id</t>
  </si>
  <si>
    <t>Department_name</t>
  </si>
  <si>
    <t>Senior Developer</t>
  </si>
  <si>
    <t>Junior Developer</t>
  </si>
  <si>
    <t>Senior Data Analyst</t>
  </si>
  <si>
    <t>Junior Data Analyst</t>
  </si>
  <si>
    <t>Project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</si>
</sst>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color rgb="FF000000"/>
      <name val="Calibri"/>
      <scheme val="minor"/>
    </font>
    <font>
      <sz val="12"/>
      <color theme="1"/>
      <name val="Calibri"/>
      <family val="2"/>
      <scheme val="minor"/>
    </font>
    <font>
      <b/>
      <u/>
      <sz val="28"/>
      <color theme="0"/>
      <name val="Aptos Display"/>
    </font>
    <font>
      <b/>
      <u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/>
    <xf numFmtId="0" fontId="4" fillId="0" borderId="0" xfId="0" applyFont="1"/>
    <xf numFmtId="0" fontId="3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4" fillId="0" borderId="1" xfId="0" applyFont="1" applyBorder="1"/>
    <xf numFmtId="0" fontId="0" fillId="0" borderId="3" xfId="0" applyBorder="1"/>
    <xf numFmtId="1" fontId="0" fillId="0" borderId="1" xfId="0" applyNumberFormat="1" applyBorder="1" applyAlignment="1">
      <alignment horizontal="center"/>
    </xf>
    <xf numFmtId="1" fontId="0" fillId="0" borderId="1" xfId="0" applyNumberFormat="1" applyBorder="1"/>
    <xf numFmtId="1" fontId="0" fillId="0" borderId="3" xfId="0" applyNumberFormat="1" applyBorder="1"/>
    <xf numFmtId="0" fontId="0" fillId="0" borderId="0" xfId="0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3" fillId="4" borderId="0" xfId="0" applyFont="1" applyFill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3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0" fillId="6" borderId="1" xfId="0" applyFill="1" applyBorder="1" applyAlignment="1">
      <alignment horizontal="center" wrapText="1"/>
    </xf>
    <xf numFmtId="0" fontId="3" fillId="7" borderId="0" xfId="0" applyFont="1" applyFill="1" applyAlignment="1">
      <alignment horizontal="center" vertical="center"/>
    </xf>
    <xf numFmtId="0" fontId="0" fillId="7" borderId="1" xfId="0" applyFill="1" applyBorder="1" applyAlignment="1">
      <alignment horizontal="center"/>
    </xf>
    <xf numFmtId="0" fontId="3" fillId="8" borderId="0" xfId="0" applyFont="1" applyFill="1" applyAlignment="1">
      <alignment horizontal="center" vertical="center"/>
    </xf>
    <xf numFmtId="0" fontId="0" fillId="8" borderId="1" xfId="0" applyFill="1" applyBorder="1"/>
    <xf numFmtId="1" fontId="0" fillId="8" borderId="1" xfId="0" applyNumberFormat="1" applyFill="1" applyBorder="1"/>
    <xf numFmtId="0" fontId="3" fillId="9" borderId="2" xfId="0" applyFont="1" applyFill="1" applyBorder="1" applyAlignment="1">
      <alignment horizontal="center" vertical="center"/>
    </xf>
    <xf numFmtId="0" fontId="0" fillId="9" borderId="1" xfId="0" applyFill="1" applyBorder="1"/>
    <xf numFmtId="1" fontId="0" fillId="9" borderId="1" xfId="0" applyNumberFormat="1" applyFill="1" applyBorder="1"/>
    <xf numFmtId="0" fontId="6" fillId="0" borderId="0" xfId="0" applyFont="1" applyAlignment="1">
      <alignment horizontal="center" vertical="center" wrapText="1"/>
    </xf>
    <xf numFmtId="0" fontId="1" fillId="0" borderId="1" xfId="0" applyFont="1" applyBorder="1"/>
    <xf numFmtId="0" fontId="0" fillId="0" borderId="1" xfId="0" applyBorder="1" applyAlignment="1">
      <alignment horizontal="center" vertical="center"/>
    </xf>
    <xf numFmtId="0" fontId="0" fillId="0" borderId="2" xfId="0" applyBorder="1"/>
    <xf numFmtId="0" fontId="0" fillId="6" borderId="2" xfId="0" applyFill="1" applyBorder="1" applyAlignment="1">
      <alignment horizontal="center" wrapText="1"/>
    </xf>
    <xf numFmtId="0" fontId="0" fillId="7" borderId="2" xfId="0" applyFill="1" applyBorder="1" applyAlignment="1">
      <alignment horizontal="center"/>
    </xf>
    <xf numFmtId="1" fontId="0" fillId="8" borderId="2" xfId="0" applyNumberFormat="1" applyFill="1" applyBorder="1"/>
    <xf numFmtId="0" fontId="0" fillId="0" borderId="4" xfId="0" applyBorder="1"/>
    <xf numFmtId="1" fontId="0" fillId="0" borderId="4" xfId="0" applyNumberFormat="1" applyBorder="1"/>
    <xf numFmtId="1" fontId="0" fillId="9" borderId="2" xfId="0" applyNumberFormat="1" applyFill="1" applyBorder="1"/>
    <xf numFmtId="0" fontId="4" fillId="7" borderId="1" xfId="0" applyFont="1" applyFill="1" applyBorder="1" applyAlignment="1">
      <alignment horizontal="center"/>
    </xf>
    <xf numFmtId="0" fontId="5" fillId="2" borderId="0" xfId="0" applyFont="1" applyFill="1" applyAlignment="1">
      <alignment horizontal="center" vertical="center" wrapText="1"/>
    </xf>
    <xf numFmtId="0" fontId="6" fillId="10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4"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1A4864B-E205-49B7-84A4-B5FE69CEBF4C}" name="Table4" displayName="Table4" ref="A3:B8" totalsRowShown="0" headerRowDxfId="3" tableBorderDxfId="2">
  <autoFilter ref="A3:B8" xr:uid="{E1A4864B-E205-49B7-84A4-B5FE69CEBF4C}">
    <filterColumn colId="0" hiddenButton="1"/>
    <filterColumn colId="1" hiddenButton="1"/>
  </autoFilter>
  <tableColumns count="2">
    <tableColumn id="1" xr3:uid="{2773903A-A6AE-4B7A-82DE-F0027F2A7CF6}" name="Department_id" dataDxfId="1"/>
    <tableColumn id="2" xr3:uid="{42DE1587-3BCE-463E-B305-3E4AC2940BE7}" name="Department_name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"/>
  <sheetViews>
    <sheetView tabSelected="1" workbookViewId="0">
      <selection activeCell="K20" sqref="K20"/>
    </sheetView>
  </sheetViews>
  <sheetFormatPr defaultRowHeight="15"/>
  <cols>
    <col min="1" max="1" width="16.140625" bestFit="1" customWidth="1"/>
    <col min="2" max="2" width="24.140625" bestFit="1" customWidth="1"/>
    <col min="3" max="3" width="11.7109375" bestFit="1" customWidth="1"/>
    <col min="4" max="4" width="20.28515625" customWidth="1"/>
    <col min="5" max="5" width="12.28515625" bestFit="1" customWidth="1"/>
    <col min="6" max="6" width="11.28515625" customWidth="1"/>
    <col min="7" max="7" width="11.7109375" bestFit="1" customWidth="1"/>
    <col min="8" max="8" width="11.28515625" customWidth="1"/>
    <col min="9" max="9" width="12.28515625" customWidth="1"/>
    <col min="10" max="10" width="16.85546875" customWidth="1"/>
    <col min="11" max="11" width="13.5703125" customWidth="1"/>
    <col min="12" max="12" width="14.140625" customWidth="1"/>
    <col min="13" max="13" width="12.28515625" bestFit="1" customWidth="1"/>
  </cols>
  <sheetData>
    <row r="1" spans="1:14" ht="36" customHeight="1">
      <c r="A1" s="38" t="s">
        <v>0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</row>
    <row r="2" spans="1:14" s="2" customFormat="1" ht="20.25" customHeight="1">
      <c r="A2" s="38"/>
      <c r="B2" s="38"/>
      <c r="C2" s="38"/>
      <c r="D2" s="38"/>
      <c r="E2" s="38"/>
      <c r="F2" s="38"/>
      <c r="G2" s="38"/>
      <c r="H2" s="38"/>
      <c r="I2" s="38"/>
      <c r="J2" s="38"/>
      <c r="K2" s="38"/>
      <c r="L2" s="38"/>
      <c r="M2" s="38"/>
    </row>
    <row r="3" spans="1:14" s="1" customFormat="1" ht="15.75" customHeight="1">
      <c r="A3" s="14" t="s">
        <v>1</v>
      </c>
      <c r="B3" s="3" t="s">
        <v>2</v>
      </c>
      <c r="C3" s="16" t="s">
        <v>3</v>
      </c>
      <c r="D3" s="17" t="s">
        <v>4</v>
      </c>
      <c r="E3" s="19" t="s">
        <v>5</v>
      </c>
      <c r="F3" s="3" t="s">
        <v>6</v>
      </c>
      <c r="G3" s="4" t="s">
        <v>7</v>
      </c>
      <c r="H3" s="4" t="s">
        <v>8</v>
      </c>
      <c r="I3" s="4" t="s">
        <v>9</v>
      </c>
      <c r="J3" s="21" t="s">
        <v>10</v>
      </c>
      <c r="K3" s="3" t="s">
        <v>11</v>
      </c>
      <c r="L3" s="3" t="s">
        <v>12</v>
      </c>
      <c r="M3" s="24" t="s">
        <v>13</v>
      </c>
    </row>
    <row r="4" spans="1:14" ht="15.75" customHeight="1">
      <c r="A4" s="15">
        <v>1</v>
      </c>
      <c r="B4" s="6" t="s">
        <v>14</v>
      </c>
      <c r="C4" s="20">
        <v>101</v>
      </c>
      <c r="D4" s="18" t="str">
        <f>IF(C4=101,"80,000",IF(C4=102,"50,000",IF(C4=103,"1,00,000",IF(C4=104,"40,000",IF(C4=105,"90,000")))))</f>
        <v>80,000</v>
      </c>
      <c r="E4" s="20">
        <v>22</v>
      </c>
      <c r="F4" s="5">
        <f>D4/22*E4</f>
        <v>80000</v>
      </c>
      <c r="G4" s="6" t="str">
        <f>IF(C4=101,"15,000",IF(C4=102,"7,000",IF(C4=103,"20,000",IF(C4=104,"10,000",IF(C4=105,"20,000")))))</f>
        <v>15,000</v>
      </c>
      <c r="H4" s="6" t="str">
        <f>IF(C4=101,"12,000",IF(C4=102,"5,000",IF(C4=103,"18,000",IF(C4=104,"8,000",IF(C4=105,"18,000")))))</f>
        <v>12,000</v>
      </c>
      <c r="I4" s="6" t="str">
        <f>IF(C4=101,"17,000",IF(C4=102,"9,000",IF(C4=103,"22,000",IF(C4=104,"12,000",IF(C4=105,"22,000")))))</f>
        <v>17,000</v>
      </c>
      <c r="J4" s="22">
        <f>SUM(F4+G4+H4+I4)</f>
        <v>124000</v>
      </c>
      <c r="K4" s="8">
        <f>D4*(1-88%)</f>
        <v>9600</v>
      </c>
      <c r="L4" s="8">
        <f>J4*(1-96%)</f>
        <v>4960.0000000000045</v>
      </c>
      <c r="M4" s="25">
        <f>SUM(J4-(K4+L4))</f>
        <v>109440</v>
      </c>
      <c r="N4" s="12"/>
    </row>
    <row r="5" spans="1:14">
      <c r="A5" s="15">
        <v>2</v>
      </c>
      <c r="B5" s="6" t="s">
        <v>15</v>
      </c>
      <c r="C5" s="20">
        <v>105</v>
      </c>
      <c r="D5" s="18" t="str">
        <f t="shared" ref="D5:D7" si="0">IF(C5=101,"80,000",IF(C5=102,"50,000",IF(C5=103,"1,00,000",IF(C5=104,"40,000",IF(C5=105,"90,000")))))</f>
        <v>90,000</v>
      </c>
      <c r="E5" s="20">
        <v>21</v>
      </c>
      <c r="F5" s="9">
        <f t="shared" ref="F5:F7" si="1">D5/22*E5</f>
        <v>85909.090909090912</v>
      </c>
      <c r="G5" s="6" t="str">
        <f t="shared" ref="G5:G6" si="2">IF(C5=101,"15,000",IF(C5=102,"7,000",IF(C5=103,"20,000",IF(C5=104,"10,000",IF(C5=105,"20,000")))))</f>
        <v>20,000</v>
      </c>
      <c r="H5" s="6" t="str">
        <f t="shared" ref="H5:H6" si="3">IF(C5=101,"12,000",IF(C5=102,"5,000",IF(C5=103,"18,000",IF(C5=104,"8,000",IF(C5=105,"18,000")))))</f>
        <v>18,000</v>
      </c>
      <c r="I5" s="6" t="str">
        <f t="shared" ref="I5:I6" si="4">IF(C5=101,"17,000",IF(C5=102,"9,000",IF(C5=103,"22,000",IF(C5=104,"12,000",IF(C5=105,"22,000")))))</f>
        <v>22,000</v>
      </c>
      <c r="J5" s="23">
        <f t="shared" ref="J5:J6" si="5">SUM(F5+G5+H5+I5)</f>
        <v>145909.09090909091</v>
      </c>
      <c r="K5" s="8">
        <f t="shared" ref="K5:K6" si="6">D5*(1-88%)</f>
        <v>10800</v>
      </c>
      <c r="L5" s="11">
        <f t="shared" ref="L5:L6" si="7">J5*(1-96%)</f>
        <v>5836.3636363636415</v>
      </c>
      <c r="M5" s="26">
        <f t="shared" ref="M5:M6" si="8">SUM(J5-(K5+L5))</f>
        <v>129272.72727272726</v>
      </c>
      <c r="N5" s="13"/>
    </row>
    <row r="6" spans="1:14">
      <c r="A6" s="15">
        <v>3</v>
      </c>
      <c r="B6" s="6" t="s">
        <v>16</v>
      </c>
      <c r="C6" s="20">
        <v>102</v>
      </c>
      <c r="D6" s="18" t="str">
        <f t="shared" si="0"/>
        <v>50,000</v>
      </c>
      <c r="E6" s="20">
        <v>20</v>
      </c>
      <c r="F6" s="9">
        <f t="shared" si="1"/>
        <v>45454.545454545449</v>
      </c>
      <c r="G6" s="6" t="str">
        <f t="shared" si="2"/>
        <v>7,000</v>
      </c>
      <c r="H6" s="6" t="str">
        <f t="shared" si="3"/>
        <v>5,000</v>
      </c>
      <c r="I6" s="6" t="str">
        <f t="shared" si="4"/>
        <v>9,000</v>
      </c>
      <c r="J6" s="23">
        <f t="shared" si="5"/>
        <v>66454.545454545441</v>
      </c>
      <c r="K6" s="8">
        <f t="shared" si="6"/>
        <v>6000</v>
      </c>
      <c r="L6" s="11">
        <f t="shared" si="7"/>
        <v>2658.1818181818198</v>
      </c>
      <c r="M6" s="26">
        <f t="shared" si="8"/>
        <v>57796.363636363618</v>
      </c>
      <c r="N6" s="13"/>
    </row>
    <row r="7" spans="1:14" s="2" customFormat="1" ht="15.75" customHeight="1">
      <c r="A7" s="15">
        <v>4</v>
      </c>
      <c r="B7" s="7" t="s">
        <v>17</v>
      </c>
      <c r="C7" s="37">
        <v>104</v>
      </c>
      <c r="D7" s="18" t="str">
        <f t="shared" si="0"/>
        <v>40,000</v>
      </c>
      <c r="E7" s="20">
        <v>22</v>
      </c>
      <c r="F7" s="9">
        <f t="shared" si="1"/>
        <v>40000</v>
      </c>
      <c r="G7" s="6" t="str">
        <f t="shared" ref="G7" si="9">IF(C7=101,"15,000",IF(C7=102,"7,000",IF(C7=103,"20,000",IF(C7=104,"10,000",IF(C7=105,"20,000")))))</f>
        <v>10,000</v>
      </c>
      <c r="H7" s="6" t="str">
        <f t="shared" ref="H7" si="10">IF(C7=101,"12,000",IF(C7=102,"5,000",IF(C7=103,"18,000",IF(C7=104,"8,000",IF(C7=105,"18,000")))))</f>
        <v>8,000</v>
      </c>
      <c r="I7" s="6" t="str">
        <f t="shared" ref="I7" si="11">IF(C7=101,"17,000",IF(C7=102,"9,000",IF(C7=103,"22,000",IF(C7=104,"12,000",IF(C7=105,"22,000")))))</f>
        <v>12,000</v>
      </c>
      <c r="J7" s="23">
        <f t="shared" ref="J7" si="12">SUM(F7+G7+H7+I7)</f>
        <v>70000</v>
      </c>
      <c r="K7" s="8">
        <f t="shared" ref="K7" si="13">D7*(1-88%)</f>
        <v>4800</v>
      </c>
      <c r="L7" s="11">
        <f t="shared" ref="L7" si="14">J7*(1-96%)</f>
        <v>2800.0000000000023</v>
      </c>
      <c r="M7" s="26">
        <f t="shared" ref="M7" si="15">SUM(J7-(K7+L7))</f>
        <v>62400</v>
      </c>
      <c r="N7" s="13"/>
    </row>
    <row r="8" spans="1:14">
      <c r="A8" s="15">
        <v>5</v>
      </c>
      <c r="B8" s="6" t="s">
        <v>18</v>
      </c>
      <c r="C8" s="20">
        <v>101</v>
      </c>
      <c r="D8" s="18" t="str">
        <f>IF(C8=101,"80,000",IF(C8=102,"50,000",IF(C8=103,"1,00,000",IF(C8=104,"40,000",IF(C8=105,"90,000")))))</f>
        <v>80,000</v>
      </c>
      <c r="E8" s="20">
        <v>20</v>
      </c>
      <c r="F8" s="9">
        <f>D8/22*E8</f>
        <v>72727.272727272735</v>
      </c>
      <c r="G8" s="10" t="str">
        <f>IF(C8=101,"15,000",IF(C8=102,"7,000",IF(C8=103,"20,000",IF(C8=104,"10,000",IF(C8=105,"20,000")))))</f>
        <v>15,000</v>
      </c>
      <c r="H8" s="10" t="str">
        <f>IF(C8=101,"12,000",IF(C8=102,"5,000",IF(C8=103,"18,000",IF(C8=104,"8,000",IF(C8=105,"18,000")))))</f>
        <v>12,000</v>
      </c>
      <c r="I8" s="10" t="str">
        <f>IF(C8=101,"17,000",IF(C8=102,"9,000",IF(C8=103,"22,000",IF(C8=104,"12,000",IF(C8=105,"22,000")))))</f>
        <v>17,000</v>
      </c>
      <c r="J8" s="23">
        <f>SUM(F8+G8+H8+I8)</f>
        <v>116727.27272727274</v>
      </c>
      <c r="K8" s="11">
        <f>D8*(1-88%)</f>
        <v>9600</v>
      </c>
      <c r="L8" s="11">
        <f>J8*(1-96%)</f>
        <v>4669.0909090909136</v>
      </c>
      <c r="M8" s="26">
        <f>SUM(J8-(K8+L8))</f>
        <v>102458.18181818182</v>
      </c>
    </row>
    <row r="9" spans="1:14">
      <c r="A9" s="15">
        <v>6</v>
      </c>
      <c r="B9" s="6" t="s">
        <v>19</v>
      </c>
      <c r="C9" s="20">
        <v>102</v>
      </c>
      <c r="D9" s="18" t="str">
        <f>IF(C9=101,"80,000",IF(C9=102,"50,000",IF(C9=103,"1,00,000",IF(C9=104,"40,000",IF(C9=105,"90,000")))))</f>
        <v>50,000</v>
      </c>
      <c r="E9" s="20">
        <v>18</v>
      </c>
      <c r="F9" s="9">
        <f>D9/22*E9</f>
        <v>40909.090909090904</v>
      </c>
      <c r="G9" s="6" t="str">
        <f>IF(C9=101,"15,000",IF(C9=102,"7,000",IF(C9=103,"20,000",IF(C9=104,"10,000",IF(C9=105,"20,000")))))</f>
        <v>7,000</v>
      </c>
      <c r="H9" s="6" t="str">
        <f>IF(C9=101,"12,000",IF(C9=102,"5,000",IF(C9=103,"18,000",IF(C9=104,"8,000",IF(C9=105,"18,000")))))</f>
        <v>5,000</v>
      </c>
      <c r="I9" s="6" t="str">
        <f>IF(C9=101,"17,000",IF(C9=102,"9,000",IF(C9=103,"22,000",IF(C9=104,"12,000",IF(C9=105,"22,000")))))</f>
        <v>9,000</v>
      </c>
      <c r="J9" s="23">
        <f>SUM(F9+G9+H9+I9)</f>
        <v>61909.090909090904</v>
      </c>
      <c r="K9" s="8">
        <f>D9*(1-88%)</f>
        <v>6000</v>
      </c>
      <c r="L9" s="11">
        <f>J9*(1-96%)</f>
        <v>2476.3636363636383</v>
      </c>
      <c r="M9" s="26">
        <f>SUM(J9-(K9+L9))</f>
        <v>53432.727272727265</v>
      </c>
    </row>
    <row r="10" spans="1:14">
      <c r="A10" s="15">
        <v>7</v>
      </c>
      <c r="B10" s="30" t="s">
        <v>20</v>
      </c>
      <c r="C10" s="32">
        <v>105</v>
      </c>
      <c r="D10" s="31" t="str">
        <f>IF(C10=101,"80,000",IF(C10=102,"50,000",IF(C10=103,"1,00,000",IF(C10=104,"40,000",IF(C10=105,"90,000")))))</f>
        <v>90,000</v>
      </c>
      <c r="E10" s="32">
        <v>18</v>
      </c>
      <c r="F10" s="9">
        <f>D10/22*E10</f>
        <v>73636.363636363632</v>
      </c>
      <c r="G10" s="30" t="str">
        <f t="shared" ref="G10" si="16">IF(C10=101,"15,000",IF(C10=102,"7,000",IF(C10=103,"20,000",IF(C10=104,"10,000",IF(C10=105,"20,000")))))</f>
        <v>20,000</v>
      </c>
      <c r="H10" s="30" t="str">
        <f t="shared" ref="H10" si="17">IF(C10=101,"12,000",IF(C10=102,"5,000",IF(C10=103,"18,000",IF(C10=104,"8,000",IF(C10=105,"18,000")))))</f>
        <v>18,000</v>
      </c>
      <c r="I10" s="30" t="str">
        <f t="shared" ref="I10" si="18">IF(C10=101,"17,000",IF(C10=102,"9,000",IF(C10=103,"22,000",IF(C10=104,"12,000",IF(C10=105,"22,000")))))</f>
        <v>22,000</v>
      </c>
      <c r="J10" s="33">
        <f t="shared" ref="J10" si="19">SUM(F10+G10+H10+I10)</f>
        <v>133636.36363636365</v>
      </c>
      <c r="K10" s="34">
        <f t="shared" ref="K10" si="20">D10*(1-88%)</f>
        <v>10800</v>
      </c>
      <c r="L10" s="35">
        <f t="shared" ref="L10" si="21">J10*(1-96%)</f>
        <v>5345.4545454545505</v>
      </c>
      <c r="M10" s="36">
        <f t="shared" ref="M10" si="22">SUM(J10-(K10+L10))</f>
        <v>117490.90909090909</v>
      </c>
    </row>
    <row r="11" spans="1:14">
      <c r="A11" s="15">
        <v>8</v>
      </c>
      <c r="B11" s="6" t="s">
        <v>21</v>
      </c>
      <c r="C11" s="20">
        <v>102</v>
      </c>
      <c r="D11" s="18" t="str">
        <f>IF(C11=101,"80,000",IF(C11=102,"50,000",IF(C11=103,"1,00,000",IF(C11=104,"40,000",IF(C11=105,"90,000")))))</f>
        <v>50,000</v>
      </c>
      <c r="E11" s="20">
        <v>21</v>
      </c>
      <c r="F11" s="9">
        <f>D11/22*E11</f>
        <v>47727.272727272721</v>
      </c>
      <c r="G11" s="6" t="str">
        <f>IF(C11=101,"15,000",IF(C11=102,"7,000",IF(C11=103,"20,000",IF(C11=104,"10,000",IF(C11=105,"20,000")))))</f>
        <v>7,000</v>
      </c>
      <c r="H11" s="6" t="str">
        <f>IF(C11=101,"12,000",IF(C11=102,"5,000",IF(C11=103,"18,000",IF(C11=104,"8,000",IF(C11=105,"18,000")))))</f>
        <v>5,000</v>
      </c>
      <c r="I11" s="6" t="str">
        <f>IF(C11=101,"17,000",IF(C11=102,"9,000",IF(C11=103,"22,000",IF(C11=104,"12,000",IF(C11=105,"22,000")))))</f>
        <v>9,000</v>
      </c>
      <c r="J11" s="23">
        <f>SUM(F11+G11+H11+I11)</f>
        <v>68727.272727272721</v>
      </c>
      <c r="K11" s="8">
        <f>D11*(1-88%)</f>
        <v>6000</v>
      </c>
      <c r="L11" s="11">
        <f>J11*(1-96%)</f>
        <v>2749.0909090909113</v>
      </c>
      <c r="M11" s="26">
        <f>SUM(J11-(K11+L11))</f>
        <v>59978.181818181809</v>
      </c>
    </row>
    <row r="12" spans="1:14">
      <c r="A12" s="15">
        <v>9</v>
      </c>
      <c r="B12" t="s">
        <v>22</v>
      </c>
      <c r="C12" s="20">
        <v>104</v>
      </c>
      <c r="D12" s="18" t="str">
        <f>IF(C12=101,"80,000",IF(C12=102,"50,000",IF(C12=103,"1,00,000",IF(C12=104,"40,000",IF(C12=105,"90,000")))))</f>
        <v>40,000</v>
      </c>
      <c r="E12" s="20">
        <v>22</v>
      </c>
      <c r="F12" s="9">
        <f>D12/22*E12</f>
        <v>40000</v>
      </c>
      <c r="G12" s="6" t="str">
        <f>IF(C12=101,"15,000",IF(C12=102,"7,000",IF(C12=103,"20,000",IF(C12=104,"10,000",IF(C12=105,"20,000")))))</f>
        <v>10,000</v>
      </c>
      <c r="H12" s="6" t="str">
        <f>IF(C12=101,"12,000",IF(C12=102,"5,000",IF(C12=103,"18,000",IF(C12=104,"8,000",IF(C12=105,"18,000")))))</f>
        <v>8,000</v>
      </c>
      <c r="I12" s="6" t="str">
        <f>IF(C12=101,"17,000",IF(C12=102,"9,000",IF(C12=103,"22,000",IF(C12=104,"12,000",IF(C12=105,"22,000")))))</f>
        <v>12,000</v>
      </c>
      <c r="J12" s="22">
        <f>SUM(F12+G12+H12+I12)</f>
        <v>70000</v>
      </c>
      <c r="K12" s="8">
        <f>D12*(1-88%)</f>
        <v>4800</v>
      </c>
      <c r="L12" s="8">
        <f>J12*(1-96%)</f>
        <v>2800.0000000000023</v>
      </c>
      <c r="M12" s="25">
        <f>SUM(J12-(K12+L12))</f>
        <v>62400</v>
      </c>
    </row>
    <row r="13" spans="1:14">
      <c r="A13" s="15"/>
      <c r="B13" s="6"/>
      <c r="C13" s="20"/>
      <c r="D13" s="18"/>
      <c r="E13" s="20"/>
      <c r="F13" s="9"/>
      <c r="G13" s="6"/>
      <c r="H13" s="6"/>
      <c r="I13" s="6"/>
      <c r="J13" s="22"/>
      <c r="K13" s="8"/>
      <c r="L13" s="8"/>
      <c r="M13" s="25"/>
      <c r="N13" s="12"/>
    </row>
    <row r="16" spans="1:14">
      <c r="D16" s="6"/>
    </row>
  </sheetData>
  <mergeCells count="1">
    <mergeCell ref="A1:M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85390-B20E-431F-974B-07B99CC8C2E2}">
  <dimension ref="A1:K8"/>
  <sheetViews>
    <sheetView workbookViewId="0">
      <selection activeCell="A5" sqref="A5:B5"/>
    </sheetView>
  </sheetViews>
  <sheetFormatPr defaultRowHeight="15"/>
  <cols>
    <col min="1" max="1" width="16.7109375" bestFit="1" customWidth="1"/>
    <col min="2" max="2" width="20.140625" bestFit="1" customWidth="1"/>
  </cols>
  <sheetData>
    <row r="1" spans="1:11" ht="15" customHeight="1">
      <c r="A1" s="39" t="s">
        <v>23</v>
      </c>
      <c r="B1" s="39"/>
      <c r="C1" s="27"/>
      <c r="D1" s="27"/>
      <c r="E1" s="27"/>
      <c r="F1" s="27"/>
      <c r="G1" s="27"/>
      <c r="H1" s="27"/>
      <c r="I1" s="27"/>
      <c r="J1" s="27"/>
      <c r="K1" s="27"/>
    </row>
    <row r="2" spans="1:11">
      <c r="A2" s="39"/>
      <c r="B2" s="39"/>
      <c r="C2" s="27"/>
      <c r="D2" s="27"/>
      <c r="E2" s="27"/>
      <c r="F2" s="27"/>
      <c r="G2" s="27"/>
      <c r="H2" s="27"/>
      <c r="I2" s="27"/>
      <c r="J2" s="27"/>
      <c r="K2" s="27"/>
    </row>
    <row r="3" spans="1:11">
      <c r="A3" s="28" t="s">
        <v>24</v>
      </c>
      <c r="B3" s="28" t="s">
        <v>25</v>
      </c>
    </row>
    <row r="4" spans="1:11">
      <c r="A4" s="29">
        <v>101</v>
      </c>
      <c r="B4" s="6" t="s">
        <v>26</v>
      </c>
    </row>
    <row r="5" spans="1:11">
      <c r="A5" s="29">
        <v>102</v>
      </c>
      <c r="B5" s="6" t="s">
        <v>27</v>
      </c>
    </row>
    <row r="6" spans="1:11">
      <c r="A6" s="29">
        <v>103</v>
      </c>
      <c r="B6" s="6" t="s">
        <v>28</v>
      </c>
    </row>
    <row r="7" spans="1:11">
      <c r="A7" s="29">
        <v>104</v>
      </c>
      <c r="B7" s="6" t="s">
        <v>29</v>
      </c>
    </row>
    <row r="8" spans="1:11">
      <c r="A8" s="29">
        <v>105</v>
      </c>
      <c r="B8" s="6" t="s">
        <v>30</v>
      </c>
    </row>
  </sheetData>
  <mergeCells count="1">
    <mergeCell ref="A1:B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Jayesh Shrivastava</cp:lastModifiedBy>
  <cp:revision/>
  <dcterms:created xsi:type="dcterms:W3CDTF">2026-02-01T03:58:09Z</dcterms:created>
  <dcterms:modified xsi:type="dcterms:W3CDTF">2026-02-03T16:56:51Z</dcterms:modified>
  <cp:category/>
  <cp:contentStatus/>
</cp:coreProperties>
</file>